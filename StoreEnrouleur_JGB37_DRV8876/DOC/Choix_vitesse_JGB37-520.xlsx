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oix vites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Rapports d'après le tableau « L values » de la fiche du JGB37-520 (6,3 à 810). Vitesses indiquées par le vendeur.</t>
        </r>
      </text>
    </comment>
  </commentList>
</comments>
</file>

<file path=xl/sharedStrings.xml><?xml version="1.0" encoding="utf-8"?>
<sst xmlns="http://schemas.openxmlformats.org/spreadsheetml/2006/main" count="36" uniqueCount="36">
  <si>
    <t xml:space="preserve">Choix de la vitesse du motoréducteur JGB37-520 12 V — store enrouleur</t>
  </si>
  <si>
    <t xml:space="preserve">Cellules jaunes à texte bleu = hypothèses à modifier ; le reste se recalcule.</t>
  </si>
  <si>
    <t xml:space="preserve">Hypothèses</t>
  </si>
  <si>
    <t xml:space="preserve">Diamètre du tube (mm)</t>
  </si>
  <si>
    <t xml:space="preserve">Tube de store (valeur de la fiche technique)</t>
  </si>
  <si>
    <t xml:space="preserve">Hauteur de toile à enrouler (mm)</t>
  </si>
  <si>
    <t xml:space="preserve">À adapter à ton store</t>
  </si>
  <si>
    <t xml:space="preserve">Couple nécessaire au store (kg·cm)</t>
  </si>
  <si>
    <t xml:space="preserve">Fiche technique : 1,58 kg·cm pour un store de 900 g sur tube de 35 mm</t>
  </si>
  <si>
    <t xml:space="preserve">Couple nominal de référence (kg·cm)</t>
  </si>
  <si>
    <t xml:space="preserve">Fiche technique : JGB37-520 12 V, réducteur 1:270, en charge nominale</t>
  </si>
  <si>
    <t xml:space="preserve">Rapport de référence (1:x)</t>
  </si>
  <si>
    <t xml:space="preserve">Rapport correspondant au couple de référence</t>
  </si>
  <si>
    <t xml:space="preserve">Impulsions encodeur par tour moteur</t>
  </si>
  <si>
    <t xml:space="preserve">Fiche technique : encodeur à effet Hall, 11 impulsions/tour</t>
  </si>
  <si>
    <t xml:space="preserve">Temps de course maximal acceptable (s)</t>
  </si>
  <si>
    <t xml:space="preserve">Au-delà : jugé trop lent</t>
  </si>
  <si>
    <t xml:space="preserve">Marge de couple conseillée (×)</t>
  </si>
  <si>
    <t xml:space="preserve">Couple nominal / couple nécessaire pour « meilleur compromis »</t>
  </si>
  <si>
    <t xml:space="preserve">Marge de couple minimale (×)</t>
  </si>
  <si>
    <t xml:space="preserve">En dessous : à éviter</t>
  </si>
  <si>
    <t xml:space="preserve">Comparaison des versions</t>
  </si>
  <si>
    <t xml:space="preserve">Vitesse (tr/min)</t>
  </si>
  <si>
    <t xml:space="preserve">Réducteur (1:x)</t>
  </si>
  <si>
    <t xml:space="preserve">Vitesse de la toile (mm/s)</t>
  </si>
  <si>
    <t xml:space="preserve">Temps pour la hauteur (s)</t>
  </si>
  <si>
    <t xml:space="preserve">Couple nominal estimé (kg·cm)</t>
  </si>
  <si>
    <t xml:space="preserve">Marge de couple (×)</t>
  </si>
  <si>
    <t xml:space="preserve">Impulsions par tour de tube</t>
  </si>
  <si>
    <t xml:space="preserve">Avis</t>
  </si>
  <si>
    <t xml:space="preserve">Notes</t>
  </si>
  <si>
    <t xml:space="preserve">• Couple estimé proportionnellement au rapport de réduction, à partir de 8,4 kg·cm au 1:270 (fiche technique). Le rendement réel du réducteur et sa limite mécanique ne sont pas pris en compte : aux grands rapports (1:506), le couple réel est plafonné par le réducteur.</t>
  </si>
  <si>
    <t xml:space="preserve">• Le couple nécessaire augmente quand la toile s'enroule (diamètre qui grossit), avec le frottement des coulisses et l'usure : d'où une marge conseillée d'environ 4×.</t>
  </si>
  <si>
    <t xml:space="preserve">• Les grands rapports (1:270, 1:168) sont presque irréversibles : hors tension, le poids de la toile ne fait pas tourner le moteur et la position mémorisée reste juste. En dessous de 1:90, le store risque de glisser après une coupure.</t>
  </si>
  <si>
    <t xml:space="preserve">• Avec la limitation de courant du DRV8876 (≈ 1,3 A), un moteur moins démultiplié se rapproche plus vite de la limite pour la même charge.</t>
  </si>
  <si>
    <t xml:space="preserve">• Programme v6 : aucune modification quelle que soit la vitesse ; la course est mesurée à la calibration.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</si>
</sst>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1:&quot;0.0##"/>
    <numFmt numFmtId="166" formatCode="0"/>
    <numFmt numFmtId="167" formatCode="0.0"/>
    <numFmt numFmtId="168" formatCode="0.0\×"/>
    <numFmt numFmtId="169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B2F3D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</font>
      <fill>
        <patternFill>
          <bgColor rgb="FFD9F2DC"/>
        </patternFill>
      </fill>
    </dxf>
    <dxf>
      <font>
        <name val="Arial"/>
        <charset val="1"/>
        <family val="0"/>
        <color rgb="FFB0002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F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35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1500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v>1.6</v>
      </c>
      <c r="C7" s="6" t="s">
        <v>8</v>
      </c>
    </row>
    <row r="8" customFormat="false" ht="15" hidden="false" customHeight="false" outlineLevel="0" collapsed="false">
      <c r="A8" s="4" t="s">
        <v>9</v>
      </c>
      <c r="B8" s="5" t="n">
        <v>8.4</v>
      </c>
      <c r="C8" s="6" t="s">
        <v>10</v>
      </c>
    </row>
    <row r="9" customFormat="false" ht="15" hidden="false" customHeight="false" outlineLevel="0" collapsed="false">
      <c r="A9" s="4" t="s">
        <v>11</v>
      </c>
      <c r="B9" s="5" t="n">
        <v>270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5" t="n">
        <v>11</v>
      </c>
      <c r="C10" s="6" t="s">
        <v>14</v>
      </c>
    </row>
    <row r="11" customFormat="false" ht="15" hidden="false" customHeight="false" outlineLevel="0" collapsed="false">
      <c r="A11" s="4" t="s">
        <v>15</v>
      </c>
      <c r="B11" s="5" t="n">
        <v>35</v>
      </c>
      <c r="C11" s="6" t="s">
        <v>16</v>
      </c>
    </row>
    <row r="12" customFormat="false" ht="15" hidden="false" customHeight="false" outlineLevel="0" collapsed="false">
      <c r="A12" s="4" t="s">
        <v>17</v>
      </c>
      <c r="B12" s="5" t="n">
        <v>4</v>
      </c>
      <c r="C12" s="6" t="s">
        <v>18</v>
      </c>
    </row>
    <row r="13" customFormat="false" ht="15" hidden="false" customHeight="false" outlineLevel="0" collapsed="false">
      <c r="A13" s="4" t="s">
        <v>19</v>
      </c>
      <c r="B13" s="5" t="n">
        <v>2.5</v>
      </c>
      <c r="C13" s="6" t="s">
        <v>20</v>
      </c>
    </row>
    <row r="15" customFormat="false" ht="15" hidden="false" customHeight="false" outlineLevel="0" collapsed="false">
      <c r="A15" s="3" t="s">
        <v>21</v>
      </c>
    </row>
    <row r="16" customFormat="false" ht="31.5" hidden="false" customHeight="true" outlineLevel="0" collapsed="false">
      <c r="A16" s="7" t="s">
        <v>22</v>
      </c>
      <c r="B16" s="7" t="s">
        <v>23</v>
      </c>
      <c r="C16" s="7" t="s">
        <v>24</v>
      </c>
      <c r="D16" s="7" t="s">
        <v>25</v>
      </c>
      <c r="E16" s="7" t="s">
        <v>26</v>
      </c>
      <c r="F16" s="7" t="s">
        <v>27</v>
      </c>
      <c r="G16" s="7" t="s">
        <v>28</v>
      </c>
      <c r="H16" s="7" t="s">
        <v>29</v>
      </c>
    </row>
    <row r="17" customFormat="false" ht="15" hidden="false" customHeight="false" outlineLevel="0" collapsed="false">
      <c r="A17" s="8" t="n">
        <v>20</v>
      </c>
      <c r="B17" s="9" t="n">
        <v>506</v>
      </c>
      <c r="C17" s="10" t="n">
        <f aca="false">A17*PI()*$B$5/60</f>
        <v>36.6519142918809</v>
      </c>
      <c r="D17" s="11" t="n">
        <f aca="false">$B$6/C17</f>
        <v>40.9255567950588</v>
      </c>
      <c r="E17" s="11" t="n">
        <f aca="false">$B$8*B17/$B$9</f>
        <v>15.7422222222222</v>
      </c>
      <c r="F17" s="12" t="n">
        <f aca="false">E17/$B$7</f>
        <v>9.83888888888889</v>
      </c>
      <c r="G17" s="13" t="n">
        <f aca="false">$B$10*4*B17</f>
        <v>22264</v>
      </c>
      <c r="H17" s="14" t="str">
        <f aca="false">IF(D17&gt;$B$11,"Trop lent, inutile",IF(F17&gt;=$B$12,"Le meilleur compromis",IF(F17&gt;=$B$13,"Possible si tu veux plus rapide","À éviter : marge trop faible")))</f>
        <v>Trop lent, inutile</v>
      </c>
    </row>
    <row r="18" customFormat="false" ht="15" hidden="false" customHeight="false" outlineLevel="0" collapsed="false">
      <c r="A18" s="8" t="n">
        <v>37</v>
      </c>
      <c r="B18" s="9" t="n">
        <v>270</v>
      </c>
      <c r="C18" s="10" t="n">
        <f aca="false">A18*PI()*$B$5/60</f>
        <v>67.8060414399797</v>
      </c>
      <c r="D18" s="11" t="n">
        <f aca="false">$B$6/C18</f>
        <v>22.1219225919237</v>
      </c>
      <c r="E18" s="11" t="n">
        <f aca="false">$B$8*B18/$B$9</f>
        <v>8.4</v>
      </c>
      <c r="F18" s="12" t="n">
        <f aca="false">E18/$B$7</f>
        <v>5.25</v>
      </c>
      <c r="G18" s="13" t="n">
        <f aca="false">$B$10*4*B18</f>
        <v>11880</v>
      </c>
      <c r="H18" s="14" t="str">
        <f aca="false">IF(D18&gt;$B$11,"Trop lent, inutile",IF(F18&gt;=$B$12,"Le meilleur compromis",IF(F18&gt;=$B$13,"Possible si tu veux plus rapide","À éviter : marge trop faible")))</f>
        <v>Le meilleur compromis</v>
      </c>
    </row>
    <row r="19" customFormat="false" ht="15" hidden="false" customHeight="false" outlineLevel="0" collapsed="false">
      <c r="A19" s="8" t="n">
        <v>60</v>
      </c>
      <c r="B19" s="9" t="n">
        <v>168</v>
      </c>
      <c r="C19" s="10" t="n">
        <f aca="false">A19*PI()*$B$5/60</f>
        <v>109.955742875643</v>
      </c>
      <c r="D19" s="11" t="n">
        <f aca="false">$B$6/C19</f>
        <v>13.6418522650196</v>
      </c>
      <c r="E19" s="11" t="n">
        <f aca="false">$B$8*B19/$B$9</f>
        <v>5.22666666666667</v>
      </c>
      <c r="F19" s="12" t="n">
        <f aca="false">E19/$B$7</f>
        <v>3.26666666666667</v>
      </c>
      <c r="G19" s="13" t="n">
        <f aca="false">$B$10*4*B19</f>
        <v>7392</v>
      </c>
      <c r="H19" s="14" t="str">
        <f aca="false">IF(D19&gt;$B$11,"Trop lent, inutile",IF(F19&gt;=$B$12,"Le meilleur compromis",IF(F19&gt;=$B$13,"Possible si tu veux plus rapide","À éviter : marge trop faible")))</f>
        <v>Possible si tu veux plus rapide</v>
      </c>
    </row>
    <row r="20" customFormat="false" ht="15" hidden="false" customHeight="false" outlineLevel="0" collapsed="false">
      <c r="A20" s="8" t="n">
        <v>111</v>
      </c>
      <c r="B20" s="9" t="n">
        <v>90</v>
      </c>
      <c r="C20" s="10" t="n">
        <f aca="false">A20*PI()*$B$5/60</f>
        <v>203.418124319939</v>
      </c>
      <c r="D20" s="11" t="n">
        <f aca="false">$B$6/C20</f>
        <v>7.37397419730789</v>
      </c>
      <c r="E20" s="11" t="n">
        <f aca="false">$B$8*B20/$B$9</f>
        <v>2.8</v>
      </c>
      <c r="F20" s="12" t="n">
        <f aca="false">E20/$B$7</f>
        <v>1.75</v>
      </c>
      <c r="G20" s="13" t="n">
        <f aca="false">$B$10*4*B20</f>
        <v>3960</v>
      </c>
      <c r="H20" s="14" t="str">
        <f aca="false">IF(D20&gt;$B$11,"Trop lent, inutile",IF(F20&gt;=$B$12,"Le meilleur compromis",IF(F20&gt;=$B$13,"Possible si tu veux plus rapide","À éviter : marge trop faible")))</f>
        <v>À éviter : marge trop faible</v>
      </c>
    </row>
    <row r="21" customFormat="false" ht="15" hidden="false" customHeight="false" outlineLevel="0" collapsed="false">
      <c r="A21" s="8" t="n">
        <v>178</v>
      </c>
      <c r="B21" s="9" t="n">
        <v>56</v>
      </c>
      <c r="C21" s="10" t="n">
        <f aca="false">A21*PI()*$B$5/60</f>
        <v>326.20203719774</v>
      </c>
      <c r="D21" s="11" t="n">
        <f aca="false">$B$6/C21</f>
        <v>4.59837716798413</v>
      </c>
      <c r="E21" s="11" t="n">
        <f aca="false">$B$8*B21/$B$9</f>
        <v>1.74222222222222</v>
      </c>
      <c r="F21" s="12" t="n">
        <f aca="false">E21/$B$7</f>
        <v>1.08888888888889</v>
      </c>
      <c r="G21" s="13" t="n">
        <f aca="false">$B$10*4*B21</f>
        <v>2464</v>
      </c>
      <c r="H21" s="14" t="str">
        <f aca="false">IF(D21&gt;$B$11,"Trop lent, inutile",IF(F21&gt;=$B$12,"Le meilleur compromis",IF(F21&gt;=$B$13,"Possible si tu veux plus rapide","À éviter : marge trop faible")))</f>
        <v>À éviter : marge trop faible</v>
      </c>
    </row>
    <row r="22" customFormat="false" ht="15" hidden="false" customHeight="false" outlineLevel="0" collapsed="false">
      <c r="A22" s="8" t="n">
        <v>333</v>
      </c>
      <c r="B22" s="9" t="n">
        <v>30</v>
      </c>
      <c r="C22" s="10" t="n">
        <f aca="false">A22*PI()*$B$5/60</f>
        <v>610.254372959817</v>
      </c>
      <c r="D22" s="11" t="n">
        <f aca="false">$B$6/C22</f>
        <v>2.45799139910263</v>
      </c>
      <c r="E22" s="11" t="n">
        <f aca="false">$B$8*B22/$B$9</f>
        <v>0.933333333333333</v>
      </c>
      <c r="F22" s="12" t="n">
        <f aca="false">E22/$B$7</f>
        <v>0.583333333333333</v>
      </c>
      <c r="G22" s="13" t="n">
        <f aca="false">$B$10*4*B22</f>
        <v>1320</v>
      </c>
      <c r="H22" s="14" t="str">
        <f aca="false">IF(D22&gt;$B$11,"Trop lent, inutile",IF(F22&gt;=$B$12,"Le meilleur compromis",IF(F22&gt;=$B$13,"Possible si tu veux plus rapide","À éviter : marge trop faible")))</f>
        <v>À éviter : marge trop faible</v>
      </c>
    </row>
    <row r="23" customFormat="false" ht="15" hidden="false" customHeight="false" outlineLevel="0" collapsed="false">
      <c r="A23" s="8" t="n">
        <v>530</v>
      </c>
      <c r="B23" s="9" t="n">
        <v>19</v>
      </c>
      <c r="C23" s="10" t="n">
        <f aca="false">A23*PI()*$B$5/60</f>
        <v>971.275728734844</v>
      </c>
      <c r="D23" s="11" t="n">
        <f aca="false">$B$6/C23</f>
        <v>1.5443606337758</v>
      </c>
      <c r="E23" s="11" t="n">
        <f aca="false">$B$8*B23/$B$9</f>
        <v>0.591111111111111</v>
      </c>
      <c r="F23" s="12" t="n">
        <f aca="false">E23/$B$7</f>
        <v>0.369444444444444</v>
      </c>
      <c r="G23" s="13" t="n">
        <f aca="false">$B$10*4*B23</f>
        <v>836</v>
      </c>
      <c r="H23" s="14" t="str">
        <f aca="false">IF(D23&gt;$B$11,"Trop lent, inutile",IF(F23&gt;=$B$12,"Le meilleur compromis",IF(F23&gt;=$B$13,"Possible si tu veux plus rapide","À éviter : marge trop faible")))</f>
        <v>À éviter : marge trop faible</v>
      </c>
    </row>
    <row r="24" customFormat="false" ht="15" hidden="false" customHeight="false" outlineLevel="0" collapsed="false">
      <c r="A24" s="8" t="n">
        <v>1000</v>
      </c>
      <c r="B24" s="9" t="n">
        <v>10</v>
      </c>
      <c r="C24" s="10" t="n">
        <f aca="false">A24*PI()*$B$5/60</f>
        <v>1832.59571459405</v>
      </c>
      <c r="D24" s="11" t="n">
        <f aca="false">$B$6/C24</f>
        <v>0.818511135901176</v>
      </c>
      <c r="E24" s="11" t="n">
        <f aca="false">$B$8*B24/$B$9</f>
        <v>0.311111111111111</v>
      </c>
      <c r="F24" s="12" t="n">
        <f aca="false">E24/$B$7</f>
        <v>0.194444444444444</v>
      </c>
      <c r="G24" s="13" t="n">
        <f aca="false">$B$10*4*B24</f>
        <v>440</v>
      </c>
      <c r="H24" s="14" t="str">
        <f aca="false">IF(D24&gt;$B$11,"Trop lent, inutile",IF(F24&gt;=$B$12,"Le meilleur compromis",IF(F24&gt;=$B$13,"Possible si tu veux plus rapide","À éviter : marge trop faible")))</f>
        <v>À éviter : marge trop faible</v>
      </c>
    </row>
    <row r="25" customFormat="false" ht="15" hidden="false" customHeight="false" outlineLevel="0" collapsed="false">
      <c r="A25" s="8" t="n">
        <v>1590</v>
      </c>
      <c r="B25" s="9" t="n">
        <v>6.3</v>
      </c>
      <c r="C25" s="10" t="n">
        <f aca="false">A25*PI()*$B$5/60</f>
        <v>2913.82718620453</v>
      </c>
      <c r="D25" s="11" t="n">
        <f aca="false">$B$6/C25</f>
        <v>0.514786877925268</v>
      </c>
      <c r="E25" s="11" t="n">
        <f aca="false">$B$8*B25/$B$9</f>
        <v>0.196</v>
      </c>
      <c r="F25" s="12" t="n">
        <f aca="false">E25/$B$7</f>
        <v>0.1225</v>
      </c>
      <c r="G25" s="13" t="n">
        <f aca="false">$B$10*4*B25</f>
        <v>277.2</v>
      </c>
      <c r="H25" s="14" t="str">
        <f aca="false">IF(D25&gt;$B$11,"Trop lent, inutile",IF(F25&gt;=$B$12,"Le meilleur compromis",IF(F25&gt;=$B$13,"Possible si tu veux plus rapide","À éviter : marge trop faible")))</f>
        <v>À éviter : marge trop faible</v>
      </c>
    </row>
    <row r="27" customFormat="false" ht="15" hidden="false" customHeight="false" outlineLevel="0" collapsed="false">
      <c r="A27" s="3" t="s">
        <v>30</v>
      </c>
    </row>
    <row r="28" customFormat="false" ht="30" hidden="false" customHeight="true" outlineLevel="0" collapsed="false">
      <c r="A28" s="15" t="s">
        <v>31</v>
      </c>
      <c r="B28" s="15"/>
      <c r="C28" s="15"/>
      <c r="D28" s="15"/>
      <c r="E28" s="15"/>
      <c r="F28" s="15"/>
      <c r="G28" s="15"/>
      <c r="H28" s="15"/>
    </row>
    <row r="29" customFormat="false" ht="30" hidden="false" customHeight="true" outlineLevel="0" collapsed="false">
      <c r="A29" s="15" t="s">
        <v>32</v>
      </c>
      <c r="B29" s="15"/>
      <c r="C29" s="15"/>
      <c r="D29" s="15"/>
      <c r="E29" s="15"/>
      <c r="F29" s="15"/>
      <c r="G29" s="15"/>
      <c r="H29" s="15"/>
    </row>
    <row r="30" customFormat="false" ht="30" hidden="false" customHeight="true" outlineLevel="0" collapsed="false">
      <c r="A30" s="15" t="s">
        <v>33</v>
      </c>
      <c r="B30" s="15"/>
      <c r="C30" s="15"/>
      <c r="D30" s="15"/>
      <c r="E30" s="15"/>
      <c r="F30" s="15"/>
      <c r="G30" s="15"/>
      <c r="H30" s="15"/>
    </row>
    <row r="31" customFormat="false" ht="30" hidden="false" customHeight="true" outlineLevel="0" collapsed="false">
      <c r="A31" s="15" t="s">
        <v>34</v>
      </c>
      <c r="B31" s="15"/>
      <c r="C31" s="15"/>
      <c r="D31" s="15"/>
      <c r="E31" s="15"/>
      <c r="F31" s="15"/>
      <c r="G31" s="15"/>
      <c r="H31" s="15"/>
    </row>
    <row r="32" customFormat="false" ht="30" hidden="false" customHeight="true" outlineLevel="0" collapsed="false">
      <c r="A32" s="15" t="s">
        <v>35</v>
      </c>
      <c r="B32" s="15"/>
      <c r="C32" s="15"/>
      <c r="D32" s="15"/>
      <c r="E32" s="15"/>
      <c r="F32" s="15"/>
      <c r="G32" s="15"/>
      <c r="H32" s="15"/>
    </row>
  </sheetData>
  <mergeCells count="5">
    <mergeCell ref="A28:H28"/>
    <mergeCell ref="A29:H29"/>
    <mergeCell ref="A30:H30"/>
    <mergeCell ref="A31:H31"/>
    <mergeCell ref="A32:H32"/>
  </mergeCells>
  <conditionalFormatting sqref="A17:H25">
    <cfRule type="expression" priority="2" aboveAverage="0" equalAverage="0" bottom="0" percent="0" rank="0" text="" dxfId="0">
      <formula>$H17="Le meilleur compromis"</formula>
    </cfRule>
    <cfRule type="expression" priority="3" aboveAverage="0" equalAverage="0" bottom="0" percent="0" rank="0" text="" dxfId="1">
      <formula>$H17="À éviter : marge trop faible"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2026-10-21T06:29:37Z</dcterms:created>
  <dc:creator>openpyxl</dc:creator>
  <dc:description/>
  <dc:language>en-US</dc:language>
  <cp:lastModifiedBy/>
  <dcterms:modified xsi:type="dcterms:W3CDTF">2026-10-21T06:29:37Z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